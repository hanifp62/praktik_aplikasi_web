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05298a2f444d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ceptance Criteria" sheetId="1" r:id="R8b3d204dd9e94b7a"/>
    <x:sheet xmlns:r="http://schemas.openxmlformats.org/officeDocument/2006/relationships" name="Summary" sheetId="2" r:id="Rd2788dec133c40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i/>
      <x:sz val="11"/>
      <x:color rgb="FF5B6570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ill>
        <x:patternFill>
          <x:bgColor rgb="FFEAF3F1"/>
        </x:patternFill>
      </x:fill>
    </x:dxf>
    <x:dxf>
      <x:fill>
        <x:patternFill>
          <x:bgColor rgb="FFF3F0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7d718e8ea14bd8" /><Relationship Type="http://schemas.openxmlformats.org/officeDocument/2006/relationships/theme" Target="/xl/theme/theme1.xml" Id="R69df4924a1704119" /><Relationship Type="http://schemas.openxmlformats.org/officeDocument/2006/relationships/sharedStrings" Target="/xl/sharedStrings.xml" Id="R8b7028e784df4ef9" /><Relationship Type="http://schemas.openxmlformats.org/officeDocument/2006/relationships/worksheet" Target="/xl/worksheets/sheet1.xml" Id="R8b3d204dd9e94b7a" /><Relationship Type="http://schemas.openxmlformats.org/officeDocument/2006/relationships/worksheet" Target="/xl/worksheets/sheet2.xml" Id="Rd2788dec133c40d0" /></Relationships>
</file>

<file path=xl/tables/table1.xml><?xml version="1.0" encoding="utf-8"?>
<x:table xmlns:x="http://schemas.openxmlformats.org/spreadsheetml/2006/main" id="1" name="AcceptanceCriteriaTable" displayName="AcceptanceCriteriaTable" ref="A4:H41" headerRowCount="1" totalsRowCount="0" totalsRowShown="0">
  <x:tableColumns count="8">
    <x:tableColumn id="1" name="User Story ID"/>
    <x:tableColumn id="2" name="AC ID"/>
    <x:tableColumn id="3" name="Priority"/>
    <x:tableColumn id="4" name="Given"/>
    <x:tableColumn id="5" name="When"/>
    <x:tableColumn id="6" name="Then"/>
    <x:tableColumn id="7" name="PRD Basis"/>
    <x:tableColumn id="8" name="Testable?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4508f5d6e444fbf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2" hidden="0" customWidth="1"/>
    <x:col min="4" max="4" width="40" hidden="0" customWidth="1"/>
    <x:col min="5" max="5" width="35" hidden="0" customWidth="1"/>
    <x:col min="6" max="6" width="60" hidden="0" customWidth="1"/>
    <x:col min="7" max="7" width="42" hidden="0" customWidth="1"/>
    <x:col min="8" max="8" width="12" hidden="0" customWidth="1"/>
  </x:cols>
  <x:sheetData>
    <x:row r="1" ht="28" customHeight="1">
      <x:c r="A1" s="5" t="str">
        <x:v>JOB 2 - ACCEPTANCE CRITERIA | Given - When - Then</x:v>
      </x:c>
      <x:c r="B1" s="5"/>
      <x:c r="C1" s="5"/>
      <x:c r="D1" s="5"/>
      <x:c r="E1" s="5"/>
      <x:c r="F1" s="5"/>
      <x:c r="G1" s="5"/>
      <x:c r="H1" s="5"/>
    </x:row>
    <x:row r="2">
      <x:c r="A2" s="11" t="str">
        <x:v>Minimal 3 AC untuk setiap story prioritas Must. Story Should juga diberi AC referensi agar artefak tetap lengkap.</x:v>
      </x:c>
      <x:c r="B2" s="11"/>
      <x:c r="C2" s="11"/>
      <x:c r="D2" s="11"/>
      <x:c r="E2" s="11"/>
      <x:c r="F2" s="11"/>
      <x:c r="G2" s="11"/>
      <x:c r="H2" s="11"/>
    </x:row>
    <x:row r="4">
      <x:c r="A4" s="17" t="str">
        <x:v>User Story ID</x:v>
      </x:c>
      <x:c r="B4" s="17" t="str">
        <x:v>AC ID</x:v>
      </x:c>
      <x:c r="C4" s="17" t="str">
        <x:v>Priority</x:v>
      </x:c>
      <x:c r="D4" s="17" t="str">
        <x:v>Given</x:v>
      </x:c>
      <x:c r="E4" s="17" t="str">
        <x:v>When</x:v>
      </x:c>
      <x:c r="F4" s="17" t="str">
        <x:v>Then</x:v>
      </x:c>
      <x:c r="G4" s="17" t="str">
        <x:v>PRD Basis</x:v>
      </x:c>
      <x:c r="H4" s="17" t="str">
        <x:v>Testable?</x:v>
      </x:c>
    </x:row>
    <x:row r="5">
      <x:c r="A5" s="24" t="str">
        <x:v>US-01</x:v>
      </x:c>
      <x:c r="B5" s="24" t="str">
        <x:v>AC-01.1</x:v>
      </x:c>
      <x:c r="C5" s="24" t="str">
        <x:v>Must</x:v>
      </x:c>
      <x:c r="D5" s="24" t="str">
        <x:v>user telah login dan mengisi data pengalaman</x:v>
      </x:c>
      <x:c r="E5" s="24" t="str">
        <x:v>user menyimpan profil</x:v>
      </x:c>
      <x:c r="F5" s="24" t="str">
        <x:v>sistem menyimpan experience level dan informasi pengalaman pada profil pendaki.</x:v>
      </x:c>
      <x:c r="G5" s="24" t="str">
        <x:v>FR-02 Hiker Profile; Profile Principle; Experience Level</x:v>
      </x:c>
      <x:c r="H5" s="24" t="str">
        <x:v>Ya</x:v>
      </x:c>
    </x:row>
    <x:row r="6">
      <x:c r="A6" s="24" t="str">
        <x:v>US-01</x:v>
      </x:c>
      <x:c r="B6" s="24" t="str">
        <x:v>AC-01.2</x:v>
      </x:c>
      <x:c r="C6" s="24" t="str">
        <x:v>Must</x:v>
      </x:c>
      <x:c r="D6" s="24" t="str">
        <x:v>profil berisi experience level</x:v>
      </x:c>
      <x:c r="E6" s="24" t="str">
        <x:v>profil disimpan lalu digunakan untuk recommendation</x:v>
      </x:c>
      <x:c r="F6" s="24" t="str">
        <x:v>experience level menjadi salah satu input konteks Route Fit Engine.</x:v>
      </x:c>
      <x:c r="G6" s="24" t="str">
        <x:v>FR-02 Hiker Profile; Profile Principle; Experience Level</x:v>
      </x:c>
      <x:c r="H6" s="24" t="str">
        <x:v>Ya</x:v>
      </x:c>
    </x:row>
    <x:row r="7">
      <x:c r="A7" s="24" t="str">
        <x:v>US-01</x:v>
      </x:c>
      <x:c r="B7" s="24" t="str">
        <x:v>AC-01.3</x:v>
      </x:c>
      <x:c r="C7" s="24" t="str">
        <x:v>Must</x:v>
      </x:c>
      <x:c r="D7" s="24" t="str">
        <x:v>user telah menyelesaikan satu pendakian dan histori diperbarui</x:v>
      </x:c>
      <x:c r="E7" s="24" t="str">
        <x:v>histori disimpan</x:v>
      </x:c>
      <x:c r="F7" s="24" t="str">
        <x:v>experience level yang dipilih user tidak otomatis berubah hanya karena histori bertambah.</x:v>
      </x:c>
      <x:c r="G7" s="24" t="str">
        <x:v>FR-02 Hiker Profile; Profile Principle; Experience Level</x:v>
      </x:c>
      <x:c r="H7" s="24" t="str">
        <x:v>Ya</x:v>
      </x:c>
    </x:row>
    <x:row r="8">
      <x:c r="A8" s="24" t="str">
        <x:v>US-02</x:v>
      </x:c>
      <x:c r="B8" s="24" t="str">
        <x:v>AC-02.1</x:v>
      </x:c>
      <x:c r="C8" s="24" t="str">
        <x:v>Must</x:v>
      </x:c>
      <x:c r="D8" s="24" t="str">
        <x:v>user memiliki profil</x:v>
      </x:c>
      <x:c r="E8" s="24" t="str">
        <x:v>user membuat hiking goal</x:v>
      </x:c>
      <x:c r="F8" s="24" t="str">
        <x:v>sistem menyimpan target date, region, trip type, expected duration, dan preference yang dipilih.</x:v>
      </x:c>
      <x:c r="G8" s="24" t="str">
        <x:v>FR-03 Hiking Goal</x:v>
      </x:c>
      <x:c r="H8" s="24" t="str">
        <x:v>Ya</x:v>
      </x:c>
    </x:row>
    <x:row r="9">
      <x:c r="A9" s="24" t="str">
        <x:v>US-02</x:v>
      </x:c>
      <x:c r="B9" s="24" t="str">
        <x:v>AC-02.2</x:v>
      </x:c>
      <x:c r="C9" s="24" t="str">
        <x:v>Must</x:v>
      </x:c>
      <x:c r="D9" s="24" t="str">
        <x:v>user memilih trip type</x:v>
      </x:c>
      <x:c r="E9" s="24" t="str">
        <x:v>goal disimpan</x:v>
      </x:c>
      <x:c r="F9" s="24" t="str">
        <x:v>nilai trip type tersimpan sebagai TEKTOK, CAMPING, atau MULTI_DAY.</x:v>
      </x:c>
      <x:c r="G9" s="24" t="str">
        <x:v>FR-03 Hiking Goal</x:v>
      </x:c>
      <x:c r="H9" s="24" t="str">
        <x:v>Ya</x:v>
      </x:c>
    </x:row>
    <x:row r="10">
      <x:c r="A10" s="24" t="str">
        <x:v>US-02</x:v>
      </x:c>
      <x:c r="B10" s="24" t="str">
        <x:v>AC-02.3</x:v>
      </x:c>
      <x:c r="C10" s="24" t="str">
        <x:v>Must</x:v>
      </x:c>
      <x:c r="D10" s="24" t="str">
        <x:v>hiking goal telah dibuat</x:v>
      </x:c>
      <x:c r="E10" s="24" t="str">
        <x:v>recommendation dijalankan</x:v>
      </x:c>
      <x:c r="F10" s="24" t="str">
        <x:v>goal digunakan sebagai salah satu input Route Fit Engine.</x:v>
      </x:c>
      <x:c r="G10" s="24" t="str">
        <x:v>FR-03 Hiking Goal</x:v>
      </x:c>
      <x:c r="H10" s="24" t="str">
        <x:v>Ya</x:v>
      </x:c>
    </x:row>
    <x:row r="11">
      <x:c r="A11" s="24" t="str">
        <x:v>US-03</x:v>
      </x:c>
      <x:c r="B11" s="24" t="str">
        <x:v>AC-03.1</x:v>
      </x:c>
      <x:c r="C11" s="24" t="str">
        <x:v>Must</x:v>
      </x:c>
      <x:c r="D11" s="24" t="str">
        <x:v>profile dan hiking goal tersedia</x:v>
      </x:c>
      <x:c r="E11" s="24" t="str">
        <x:v>recommendation dijalankan</x:v>
      </x:c>
      <x:c r="F11" s="24" t="str">
        <x:v>Route Fit Engine mengevaluasi eligible routes menggunakan profile, goal, trail characteristics, dan current status.</x:v>
      </x:c>
      <x:c r="G11" s="24" t="str">
        <x:v>FR-04 Route Fit Engine; Three-Layer Model; Hard Constraints; Compatibility Factors</x:v>
      </x:c>
      <x:c r="H11" s="24" t="str">
        <x:v>Ya</x:v>
      </x:c>
    </x:row>
    <x:row r="12">
      <x:c r="A12" s="24" t="str">
        <x:v>US-03</x:v>
      </x:c>
      <x:c r="B12" s="24" t="str">
        <x:v>AC-03.2</x:v>
      </x:c>
      <x:c r="C12" s="24" t="str">
        <x:v>Must</x:v>
      </x:c>
      <x:c r="D12" s="24" t="str">
        <x:v>official status trail adalah CLOSED</x:v>
      </x:c>
      <x:c r="E12" s="24" t="str">
        <x:v>recommendation dijalankan</x:v>
      </x:c>
      <x:c r="F12" s="24" t="str">
        <x:v>trail tersebut tidak menjadi active recommendation.</x:v>
      </x:c>
      <x:c r="G12" s="24" t="str">
        <x:v>FR-04 Route Fit Engine; Three-Layer Model; Hard Constraints; Compatibility Factors</x:v>
      </x:c>
      <x:c r="H12" s="24" t="str">
        <x:v>Ya</x:v>
      </x:c>
    </x:row>
    <x:row r="13">
      <x:c r="A13" s="24" t="str">
        <x:v>US-03</x:v>
      </x:c>
      <x:c r="B13" s="24" t="str">
        <x:v>AC-03.3</x:v>
      </x:c>
      <x:c r="C13" s="24" t="str">
        <x:v>Must</x:v>
      </x:c>
      <x:c r="D13" s="24" t="str">
        <x:v>terdapat route yang lolos evaluasi</x:v>
      </x:c>
      <x:c r="E13" s="24" t="str">
        <x:v>hasil recommendation ditampilkan</x:v>
      </x:c>
      <x:c r="F13" s="24" t="str">
        <x:v>sistem menampilkan route-fit label dan karakteristik yang relevan.</x:v>
      </x:c>
      <x:c r="G13" s="24" t="str">
        <x:v>FR-04 Route Fit Engine; Three-Layer Model; Hard Constraints; Compatibility Factors</x:v>
      </x:c>
      <x:c r="H13" s="24" t="str">
        <x:v>Ya</x:v>
      </x:c>
    </x:row>
    <x:row r="14">
      <x:c r="A14" s="24" t="str">
        <x:v>US-04</x:v>
      </x:c>
      <x:c r="B14" s="24" t="str">
        <x:v>AC-04.1</x:v>
      </x:c>
      <x:c r="C14" s="24" t="str">
        <x:v>Must</x:v>
      </x:c>
      <x:c r="D14" s="24" t="str">
        <x:v>recommendation telah dihasilkan</x:v>
      </x:c>
      <x:c r="E14" s="24" t="str">
        <x:v>user membuka hasil recommendation</x:v>
      </x:c>
      <x:c r="F14" s="24" t="str">
        <x:v>sistem menampilkan bagian Why It Fits.</x:v>
      </x:c>
      <x:c r="G14" s="24" t="str">
        <x:v>Route Explainability; Product Differentiator; Recommendation Result</x:v>
      </x:c>
      <x:c r="H14" s="24" t="str">
        <x:v>Ya</x:v>
      </x:c>
    </x:row>
    <x:row r="15">
      <x:c r="A15" s="24" t="str">
        <x:v>US-04</x:v>
      </x:c>
      <x:c r="B15" s="24" t="str">
        <x:v>AC-04.2</x:v>
      </x:c>
      <x:c r="C15" s="24" t="str">
        <x:v>Must</x:v>
      </x:c>
      <x:c r="D15" s="24" t="str">
        <x:v>route memiliki faktor yang perlu diperhatikan</x:v>
      </x:c>
      <x:c r="E15" s="24" t="str">
        <x:v>user membuka hasil recommendation</x:v>
      </x:c>
      <x:c r="F15" s="24" t="str">
        <x:v>sistem menampilkan bagian What to Watch dengan faktor yang relevan.</x:v>
      </x:c>
      <x:c r="G15" s="24" t="str">
        <x:v>Route Explainability; Product Differentiator; Recommendation Result</x:v>
      </x:c>
      <x:c r="H15" s="24" t="str">
        <x:v>Ya</x:v>
      </x:c>
    </x:row>
    <x:row r="16">
      <x:c r="A16" s="24" t="str">
        <x:v>US-04</x:v>
      </x:c>
      <x:c r="B16" s="24" t="str">
        <x:v>AC-04.3</x:v>
      </x:c>
      <x:c r="C16" s="24" t="str">
        <x:v>Must</x:v>
      </x:c>
      <x:c r="D16" s="24" t="str">
        <x:v>terdapat preparation gap</x:v>
      </x:c>
      <x:c r="E16" s="24" t="str">
        <x:v>user melihat hasil recommendation</x:v>
      </x:c>
      <x:c r="F16" s="24" t="str">
        <x:v>sistem menampilkan preparation gap yang relevan.</x:v>
      </x:c>
      <x:c r="G16" s="24" t="str">
        <x:v>Route Explainability; Product Differentiator; Recommendation Result</x:v>
      </x:c>
      <x:c r="H16" s="24" t="str">
        <x:v>Ya</x:v>
      </x:c>
    </x:row>
    <x:row r="17">
      <x:c r="A17" s="24" t="str">
        <x:v>US-05</x:v>
      </x:c>
      <x:c r="B17" s="24" t="str">
        <x:v>AC-05.1</x:v>
      </x:c>
      <x:c r="C17" s="24" t="str">
        <x:v>Must</x:v>
      </x:c>
      <x:c r="D17" s="24" t="str">
        <x:v>user memilih sebuah trail</x:v>
      </x:c>
      <x:c r="E17" s="24" t="str">
        <x:v>detail trail dibuka</x:v>
      </x:c>
      <x:c r="F17" s="24" t="str">
        <x:v>sistem menampilkan karakteristik route seperti distance, elevation gain/loss, estimated duration, terrain, technical, dan navigation sesuai data.</x:v>
      </x:c>
      <x:c r="G17" s="24" t="str">
        <x:v>FR-07 Trail Detail; Route Characteristics; Difficulty Model</x:v>
      </x:c>
      <x:c r="H17" s="24" t="str">
        <x:v>Ya</x:v>
      </x:c>
    </x:row>
    <x:row r="18">
      <x:c r="A18" s="24" t="str">
        <x:v>US-05</x:v>
      </x:c>
      <x:c r="B18" s="24" t="str">
        <x:v>AC-05.2</x:v>
      </x:c>
      <x:c r="C18" s="24" t="str">
        <x:v>Must</x:v>
      </x:c>
      <x:c r="D18" s="24" t="str">
        <x:v>trail memiliki checkpoint</x:v>
      </x:c>
      <x:c r="E18" s="24" t="str">
        <x:v>user membuka detail trail</x:v>
      </x:c>
      <x:c r="F18" s="24" t="str">
        <x:v>checkpoint dapat ditampilkan pada informasi trail.</x:v>
      </x:c>
      <x:c r="G18" s="24" t="str">
        <x:v>FR-07 Trail Detail; Route Characteristics; Difficulty Model</x:v>
      </x:c>
      <x:c r="H18" s="24" t="str">
        <x:v>Ya</x:v>
      </x:c>
    </x:row>
    <x:row r="19">
      <x:c r="A19" s="24" t="str">
        <x:v>US-05</x:v>
      </x:c>
      <x:c r="B19" s="24" t="str">
        <x:v>AC-05.3</x:v>
      </x:c>
      <x:c r="C19" s="24" t="str">
        <x:v>Must</x:v>
      </x:c>
      <x:c r="D19" s="24" t="str">
        <x:v>trail memiliki section route, elevation, terrain, technical, navigation, atau preparation</x:v>
      </x:c>
      <x:c r="E19" s="24" t="str">
        <x:v>user membuka detail</x:v>
      </x:c>
      <x:c r="F19" s="24" t="str">
        <x:v>section yang datanya tersedia dapat ditampilkan.</x:v>
      </x:c>
      <x:c r="G19" s="24" t="str">
        <x:v>FR-07 Trail Detail; Route Characteristics; Difficulty Model</x:v>
      </x:c>
      <x:c r="H19" s="24" t="str">
        <x:v>Ya</x:v>
      </x:c>
    </x:row>
    <x:row r="20">
      <x:c r="A20" s="24" t="str">
        <x:v>US-06</x:v>
      </x:c>
      <x:c r="B20" s="24" t="str">
        <x:v>AC-06.1</x:v>
      </x:c>
      <x:c r="C20" s="24" t="str">
        <x:v>Must</x:v>
      </x:c>
      <x:c r="D20" s="24" t="str">
        <x:v>user telah memilih trail</x:v>
      </x:c>
      <x:c r="E20" s="24" t="str">
        <x:v>user membuat trip</x:v>
      </x:c>
      <x:c r="F20" s="24" t="str">
        <x:v>sistem menyimpan trip name, route, date, start time, trip type, dan notes.</x:v>
      </x:c>
      <x:c r="G20" s="24" t="str">
        <x:v>FR-08 Trip Plan</x:v>
      </x:c>
      <x:c r="H20" s="24" t="str">
        <x:v>Ya</x:v>
      </x:c>
    </x:row>
    <x:row r="21">
      <x:c r="A21" s="24" t="str">
        <x:v>US-06</x:v>
      </x:c>
      <x:c r="B21" s="24" t="str">
        <x:v>AC-06.2</x:v>
      </x:c>
      <x:c r="C21" s="24" t="str">
        <x:v>Must</x:v>
      </x:c>
      <x:c r="D21" s="24" t="str">
        <x:v>trip telah dibuat</x:v>
      </x:c>
      <x:c r="E21" s="24" t="str">
        <x:v>user memperbarui status trip</x:v>
      </x:c>
      <x:c r="F21" s="24" t="str">
        <x:v>status menggunakan salah satu state DRAFT, PLANNED, READY_FOR_DEPARTURE, IN_PROGRESS, COMPLETED, atau CANCELLED.</x:v>
      </x:c>
      <x:c r="G21" s="24" t="str">
        <x:v>FR-08 Trip Plan</x:v>
      </x:c>
      <x:c r="H21" s="24" t="str">
        <x:v>Ya</x:v>
      </x:c>
    </x:row>
    <x:row r="22">
      <x:c r="A22" s="24" t="str">
        <x:v>US-06</x:v>
      </x:c>
      <x:c r="B22" s="24" t="str">
        <x:v>AC-06.3</x:v>
      </x:c>
      <x:c r="C22" s="24" t="str">
        <x:v>Must</x:v>
      </x:c>
      <x:c r="D22" s="24" t="str">
        <x:v>user memiliki trip</x:v>
      </x:c>
      <x:c r="E22" s="24" t="str">
        <x:v>user membuka history</x:v>
      </x:c>
      <x:c r="F22" s="24" t="str">
        <x:v>trip dapat ditampilkan sebagai bagian dari hiking history.</x:v>
      </x:c>
      <x:c r="G22" s="24" t="str">
        <x:v>FR-08 Trip Plan</x:v>
      </x:c>
      <x:c r="H22" s="24" t="str">
        <x:v>Ya</x:v>
      </x:c>
    </x:row>
    <x:row r="23">
      <x:c r="A23" s="24" t="str">
        <x:v>US-07</x:v>
      </x:c>
      <x:c r="B23" s="24" t="str">
        <x:v>AC-07.1</x:v>
      </x:c>
      <x:c r="C23" s="24" t="str">
        <x:v>Must</x:v>
      </x:c>
      <x:c r="D23" s="24" t="str">
        <x:v>user telah memilih trail</x:v>
      </x:c>
      <x:c r="E23" s="24" t="str">
        <x:v>preparation plan dibuat</x:v>
      </x:c>
      <x:c r="F23" s="24" t="str">
        <x:v>sistem menghasilkan preparation requirements yang dikaitkan dengan trail.</x:v>
      </x:c>
      <x:c r="G23" s="24" t="str">
        <x:v>FR-09 Preparation Plan; Preparation Status</x:v>
      </x:c>
      <x:c r="H23" s="24" t="str">
        <x:v>Ya</x:v>
      </x:c>
    </x:row>
    <x:row r="24">
      <x:c r="A24" s="24" t="str">
        <x:v>US-07</x:v>
      </x:c>
      <x:c r="B24" s="24" t="str">
        <x:v>AC-07.2</x:v>
      </x:c>
      <x:c r="C24" s="24" t="str">
        <x:v>Must</x:v>
      </x:c>
      <x:c r="D24" s="24" t="str">
        <x:v>preparation item telah ditampilkan</x:v>
      </x:c>
      <x:c r="E24" s="24" t="str">
        <x:v>user memperbarui status item</x:v>
      </x:c>
      <x:c r="F24" s="24" t="str">
        <x:v>status dapat menjadi CONFIRMED, NOT_CONFIRMED, atau NOT_APPLICABLE.</x:v>
      </x:c>
      <x:c r="G24" s="24" t="str">
        <x:v>FR-09 Preparation Plan; Preparation Status</x:v>
      </x:c>
      <x:c r="H24" s="24" t="str">
        <x:v>Ya</x:v>
      </x:c>
    </x:row>
    <x:row r="25">
      <x:c r="A25" s="24" t="str">
        <x:v>US-07</x:v>
      </x:c>
      <x:c r="B25" s="24" t="str">
        <x:v>AC-07.3</x:v>
      </x:c>
      <x:c r="C25" s="24" t="str">
        <x:v>Must</x:v>
      </x:c>
      <x:c r="D25" s="24" t="str">
        <x:v>terdapat preparation item berstatus NOT_CONFIRMED</x:v>
      </x:c>
      <x:c r="E25" s="24" t="str">
        <x:v>readiness diperiksa</x:v>
      </x:c>
      <x:c r="F25" s="24" t="str">
        <x:v>item tersebut dapat menjadi preparation gap.</x:v>
      </x:c>
      <x:c r="G25" s="24" t="str">
        <x:v>FR-09 Preparation Plan; Preparation Status</x:v>
      </x:c>
      <x:c r="H25" s="24" t="str">
        <x:v>Ya</x:v>
      </x:c>
    </x:row>
    <x:row r="26">
      <x:c r="A26" s="24" t="str">
        <x:v>US-08</x:v>
      </x:c>
      <x:c r="B26" s="24" t="str">
        <x:v>AC-08.1</x:v>
      </x:c>
      <x:c r="C26" s="24" t="str">
        <x:v>Must</x:v>
      </x:c>
      <x:c r="D26" s="24" t="str">
        <x:v>route fit, preparation, dan current conditions tersedia</x:v>
      </x:c>
      <x:c r="E26" s="24" t="str">
        <x:v>readiness diperiksa</x:v>
      </x:c>
      <x:c r="F26" s="24" t="str">
        <x:v>sistem menghasilkan salah satu readiness state yang didefinisikan PRD.</x:v>
      </x:c>
      <x:c r="G26" s="24" t="str">
        <x:v>FR-10 Readiness Model; Readiness States</x:v>
      </x:c>
      <x:c r="H26" s="24" t="str">
        <x:v>Ya</x:v>
      </x:c>
    </x:row>
    <x:row r="27">
      <x:c r="A27" s="24" t="str">
        <x:v>US-08</x:v>
      </x:c>
      <x:c r="B27" s="24" t="str">
        <x:v>AC-08.2</x:v>
      </x:c>
      <x:c r="C27" s="24" t="str">
        <x:v>Must</x:v>
      </x:c>
      <x:c r="D27" s="24" t="str">
        <x:v>route fit acceptable, critical preparation confirmed, official access compatible, dan tidak ada critical unresolved issue</x:v>
      </x:c>
      <x:c r="E27" s="24" t="str">
        <x:v>readiness diperiksa</x:v>
      </x:c>
      <x:c r="F27" s="24" t="str">
        <x:v>status dapat menjadi READY.</x:v>
      </x:c>
      <x:c r="G27" s="24" t="str">
        <x:v>FR-10 Readiness Model; Readiness States</x:v>
      </x:c>
      <x:c r="H27" s="24" t="str">
        <x:v>Ya</x:v>
      </x:c>
    </x:row>
    <x:row r="28">
      <x:c r="A28" s="24" t="str">
        <x:v>US-08</x:v>
      </x:c>
      <x:c r="B28" s="24" t="str">
        <x:v>AC-08.3</x:v>
      </x:c>
      <x:c r="C28" s="24" t="str">
        <x:v>Must</x:v>
      </x:c>
      <x:c r="D28" s="24" t="str">
        <x:v>terdapat preparation gap atau incomplete pre-departure check</x:v>
      </x:c>
      <x:c r="E28" s="24" t="str">
        <x:v>readiness diperiksa</x:v>
      </x:c>
      <x:c r="F28" s="24" t="str">
        <x:v>status dapat menjadi NEEDS_PREPARATION.</x:v>
      </x:c>
      <x:c r="G28" s="24" t="str">
        <x:v>FR-10 Readiness Model; Readiness States</x:v>
      </x:c>
      <x:c r="H28" s="24" t="str">
        <x:v>Ya</x:v>
      </x:c>
    </x:row>
    <x:row r="29">
      <x:c r="A29" s="24" t="str">
        <x:v>US-08</x:v>
      </x:c>
      <x:c r="B29" s="24" t="str">
        <x:v>AC-08.4</x:v>
      </x:c>
      <x:c r="C29" s="24" t="str">
        <x:v>Must</x:v>
      </x:c>
      <x:c r="D29" s="24" t="str">
        <x:v>official status CLOSED atau terdapat hard incompatibility</x:v>
      </x:c>
      <x:c r="E29" s="24" t="str">
        <x:v>readiness diperiksa</x:v>
      </x:c>
      <x:c r="F29" s="24" t="str">
        <x:v>kondisi tersebut tidak diperlakukan sebagai READY.</x:v>
      </x:c>
      <x:c r="G29" s="24" t="str">
        <x:v>FR-10 Readiness Model; Readiness States</x:v>
      </x:c>
      <x:c r="H29" s="24" t="str">
        <x:v>Ya</x:v>
      </x:c>
    </x:row>
    <x:row r="30">
      <x:c r="A30" s="24" t="str">
        <x:v>US-09</x:v>
      </x:c>
      <x:c r="B30" s="24" t="str">
        <x:v>AC-09.1</x:v>
      </x:c>
      <x:c r="C30" s="24" t="str">
        <x:v>Must</x:v>
      </x:c>
      <x:c r="D30" s="24" t="str">
        <x:v>trail memiliki official status</x:v>
      </x:c>
      <x:c r="E30" s="24" t="str">
        <x:v>user membuka informasi trail</x:v>
      </x:c>
      <x:c r="F30" s="24" t="str">
        <x:v>sistem menampilkan OPEN, RESTRICTED, CLOSED, atau UNKNOWN.</x:v>
      </x:c>
      <x:c r="G30" s="24" t="str">
        <x:v>FR-11 Official Status; Data Trust Model</x:v>
      </x:c>
      <x:c r="H30" s="24" t="str">
        <x:v>Ya</x:v>
      </x:c>
    </x:row>
    <x:row r="31">
      <x:c r="A31" s="24" t="str">
        <x:v>US-09</x:v>
      </x:c>
      <x:c r="B31" s="24" t="str">
        <x:v>AC-09.2</x:v>
      </x:c>
      <x:c r="C31" s="24" t="str">
        <x:v>Must</x:v>
      </x:c>
      <x:c r="D31" s="24" t="str">
        <x:v>official status tersedia</x:v>
      </x:c>
      <x:c r="E31" s="24" t="str">
        <x:v>user melihat informasi status</x:v>
      </x:c>
      <x:c r="F31" s="24" t="str">
        <x:v>source dan timestamp ditampilkan bersama status.</x:v>
      </x:c>
      <x:c r="G31" s="24" t="str">
        <x:v>FR-11 Official Status; Data Trust Model</x:v>
      </x:c>
      <x:c r="H31" s="24" t="str">
        <x:v>Ya</x:v>
      </x:c>
    </x:row>
    <x:row r="32">
      <x:c r="A32" s="24" t="str">
        <x:v>US-09</x:v>
      </x:c>
      <x:c r="B32" s="24" t="str">
        <x:v>AC-09.3</x:v>
      </x:c>
      <x:c r="C32" s="24" t="str">
        <x:v>Must</x:v>
      </x:c>
      <x:c r="D32" s="24" t="str">
        <x:v>official status CLOSED</x:v>
      </x:c>
      <x:c r="E32" s="24" t="str">
        <x:v>recommendation dijalankan</x:v>
      </x:c>
      <x:c r="F32" s="24" t="str">
        <x:v>trail tidak menjadi active recommendation.</x:v>
      </x:c>
      <x:c r="G32" s="24" t="str">
        <x:v>FR-11 Official Status; Data Trust Model</x:v>
      </x:c>
      <x:c r="H32" s="24" t="str">
        <x:v>Ya</x:v>
      </x:c>
    </x:row>
    <x:row r="33">
      <x:c r="A33" s="24" t="str">
        <x:v>US-10</x:v>
      </x:c>
      <x:c r="B33" s="24" t="str">
        <x:v>AC-10.1</x:v>
      </x:c>
      <x:c r="C33" s="24" t="str">
        <x:v>Must</x:v>
      </x:c>
      <x:c r="D33" s="24" t="str">
        <x:v>data cuaca tersedia dari sumber</x:v>
      </x:c>
      <x:c r="E33" s="24" t="str">
        <x:v>user membuka informasi cuaca area jalur</x:v>
      </x:c>
      <x:c r="F33" s="24" t="str">
        <x:v>sistem menampilkan weather description, temperature, humidity, wind, cloud/visibility, source, dan fetched/analysis time sesuai data yang tersedia.</x:v>
      </x:c>
      <x:c r="G33" s="24" t="str">
        <x:v>FR-12 Weather; Weather Failure Rule</x:v>
      </x:c>
      <x:c r="H33" s="24" t="str">
        <x:v>Ya</x:v>
      </x:c>
    </x:row>
    <x:row r="34">
      <x:c r="A34" s="24" t="str">
        <x:v>US-10</x:v>
      </x:c>
      <x:c r="B34" s="24" t="str">
        <x:v>AC-10.2</x:v>
      </x:c>
      <x:c r="C34" s="24" t="str">
        <x:v>Must</x:v>
      </x:c>
      <x:c r="D34" s="24" t="str">
        <x:v>current weather fetch gagal</x:v>
      </x:c>
      <x:c r="E34" s="24" t="str">
        <x:v>user membuka informasi cuaca</x:v>
      </x:c>
      <x:c r="F34" s="24" t="str">
        <x:v>sistem menampilkan pesan kegagalan pembaruan dan data terakhir bila tersedia.</x:v>
      </x:c>
      <x:c r="G34" s="24" t="str">
        <x:v>FR-12 Weather; Weather Failure Rule</x:v>
      </x:c>
      <x:c r="H34" s="24" t="str">
        <x:v>Ya</x:v>
      </x:c>
    </x:row>
    <x:row r="35">
      <x:c r="A35" s="24" t="str">
        <x:v>US-10</x:v>
      </x:c>
      <x:c r="B35" s="24" t="str">
        <x:v>AC-10.3</x:v>
      </x:c>
      <x:c r="C35" s="24" t="str">
        <x:v>Must</x:v>
      </x:c>
      <x:c r="D35" s="24" t="str">
        <x:v>current fetch gagal dan tidak ada historical data</x:v>
      </x:c>
      <x:c r="E35" s="24" t="str">
        <x:v>user membuka informasi cuaca</x:v>
      </x:c>
      <x:c r="F35" s="24" t="str">
        <x:v>sistem menampilkan bahwa data cuaca tidak tersedia.</x:v>
      </x:c>
      <x:c r="G35" s="24" t="str">
        <x:v>FR-12 Weather; Weather Failure Rule</x:v>
      </x:c>
      <x:c r="H35" s="24" t="str">
        <x:v>Ya</x:v>
      </x:c>
    </x:row>
    <x:row r="36">
      <x:c r="A36" s="24" t="str">
        <x:v>US-11</x:v>
      </x:c>
      <x:c r="B36" s="24" t="str">
        <x:v>AC-11.1</x:v>
      </x:c>
      <x:c r="C36" s="24" t="str">
        <x:v>Should</x:v>
      </x:c>
      <x:c r="D36" s="24" t="str">
        <x:v>user mengisi route, hike date, dan condition</x:v>
      </x:c>
      <x:c r="E36" s="24" t="str">
        <x:v>user mengirim trail condition report</x:v>
      </x:c>
      <x:c r="F36" s="24" t="str">
        <x:v>sistem menyimpan laporan dengan data required tersebut.</x:v>
      </x:c>
      <x:c r="G36" s="24" t="str">
        <x:v>FR-13 Trail Condition Report; Community Report Principle; Community Freshness</x:v>
      </x:c>
      <x:c r="H36" s="24" t="str">
        <x:v>Ya</x:v>
      </x:c>
    </x:row>
    <x:row r="37">
      <x:c r="A37" s="24" t="str">
        <x:v>US-11</x:v>
      </x:c>
      <x:c r="B37" s="24" t="str">
        <x:v>AC-11.2</x:v>
      </x:c>
      <x:c r="C37" s="24" t="str">
        <x:v>Should</x:v>
      </x:c>
      <x:c r="D37" s="24" t="str">
        <x:v>user mengisi segment, photo, atau note</x:v>
      </x:c>
      <x:c r="E37" s="24" t="str">
        <x:v>report dikirim</x:v>
      </x:c>
      <x:c r="F37" s="24" t="str">
        <x:v>field opsional yang diisi ikut tersimpan.</x:v>
      </x:c>
      <x:c r="G37" s="24" t="str">
        <x:v>FR-13 Trail Condition Report; Community Report Principle; Community Freshness</x:v>
      </x:c>
      <x:c r="H37" s="24" t="str">
        <x:v>Ya</x:v>
      </x:c>
    </x:row>
    <x:row r="38">
      <x:c r="A38" s="24" t="str">
        <x:v>US-11</x:v>
      </x:c>
      <x:c r="B38" s="24" t="str">
        <x:v>AC-11.3</x:v>
      </x:c>
      <x:c r="C38" s="24" t="str">
        <x:v>Should</x:v>
      </x:c>
      <x:c r="D38" s="24" t="str">
        <x:v>report telah tersimpan</x:v>
      </x:c>
      <x:c r="E38" s="24" t="str">
        <x:v>user membuka informasi current condition</x:v>
      </x:c>
      <x:c r="F38" s="24" t="str">
        <x:v>report ditampilkan sebagai community report dan membawa informasi freshness; report tidak menggantikan official status.</x:v>
      </x:c>
      <x:c r="G38" s="24" t="str">
        <x:v>FR-13 Trail Condition Report; Community Report Principle; Community Freshness</x:v>
      </x:c>
      <x:c r="H38" s="24" t="str">
        <x:v>Ya</x:v>
      </x:c>
    </x:row>
    <x:row r="39">
      <x:c r="A39" s="24" t="str">
        <x:v>US-12</x:v>
      </x:c>
      <x:c r="B39" s="24" t="str">
        <x:v>AC-12.1</x:v>
      </x:c>
      <x:c r="C39" s="24" t="str">
        <x:v>Should</x:v>
      </x:c>
      <x:c r="D39" s="24" t="str">
        <x:v>terdapat community report berstatus PENDING</x:v>
      </x:c>
      <x:c r="E39" s="24" t="str">
        <x:v>admin membuka moderation</x:v>
      </x:c>
      <x:c r="F39" s="24" t="str">
        <x:v>admin dapat memilih APPROVE, REJECT, FLAG, atau REMOVE.</x:v>
      </x:c>
      <x:c r="G39" s="24" t="str">
        <x:v>FR-16 Admin; FR-17 Moderation; FR-19 Audit Log</x:v>
      </x:c>
      <x:c r="H39" s="24" t="str">
        <x:v>Ya</x:v>
      </x:c>
    </x:row>
    <x:row r="40">
      <x:c r="A40" s="24" t="str">
        <x:v>US-12</x:v>
      </x:c>
      <x:c r="B40" s="24" t="str">
        <x:v>AC-12.2</x:v>
      </x:c>
      <x:c r="C40" s="24" t="str">
        <x:v>Should</x:v>
      </x:c>
      <x:c r="D40" s="24" t="str">
        <x:v>admin melakukan moderation action</x:v>
      </x:c>
      <x:c r="E40" s="24" t="str">
        <x:v>action disimpan</x:v>
      </x:c>
      <x:c r="F40" s="24" t="str">
        <x:v>state report berubah menjadi state moderation yang sesuai.</x:v>
      </x:c>
      <x:c r="G40" s="24" t="str">
        <x:v>FR-16 Admin; FR-17 Moderation; FR-19 Audit Log</x:v>
      </x:c>
      <x:c r="H40" s="24" t="str">
        <x:v>Ya</x:v>
      </x:c>
    </x:row>
    <x:row r="41">
      <x:c r="A41" s="24" t="str">
        <x:v>US-12</x:v>
      </x:c>
      <x:c r="B41" s="24" t="str">
        <x:v>AC-12.3</x:v>
      </x:c>
      <x:c r="C41" s="24" t="str">
        <x:v>Should</x:v>
      </x:c>
      <x:c r="D41" s="24" t="str">
        <x:v>moderation action telah dilakukan</x:v>
      </x:c>
      <x:c r="E41" s="24" t="str">
        <x:v>riwayat action diperiksa</x:v>
      </x:c>
      <x:c r="F41" s="24" t="str">
        <x:v>tindakan moderasi dapat ditelusuri melalui data governance/audit yang tersedia.</x:v>
      </x:c>
      <x:c r="G41" s="24" t="str">
        <x:v>FR-16 Admin; FR-17 Moderation; FR-19 Audit Log</x:v>
      </x:c>
      <x:c r="H41" s="24" t="str">
        <x:v>Ya</x:v>
      </x:c>
    </x:row>
  </x:sheetData>
  <x:mergeCells>
    <x:mergeCell ref="A1:H1"/>
    <x:mergeCell ref="A2:H2"/>
  </x:mergeCells>
  <x:conditionalFormatting sqref="C5:C41">
    <x:cfRule type="expression" dxfId="0" priority="1">
      <x:formula>C5="Must"</x:formula>
    </x:cfRule>
    <x:cfRule type="expression" dxfId="1" priority="2">
      <x:formula>C5="Should"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4508f5d6e444fb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4" max="4" width="38" hidden="0" customWidth="1"/>
  </x:cols>
  <x:sheetData>
    <x:row r="1" ht="28" customHeight="1">
      <x:c r="A1" s="5" t="str">
        <x:v>RINGKASAN ACCEPTANCE CRITERIA</x:v>
      </x:c>
      <x:c r="B1" s="5"/>
      <x:c r="C1" s="5"/>
      <x:c r="D1" s="5"/>
    </x:row>
    <x:row r="3">
      <x:c r="A3" s="17" t="str">
        <x:v>Item</x:v>
      </x:c>
      <x:c r="B3" s="17" t="str">
        <x:v>Nilai</x:v>
      </x:c>
      <x:c r="D3" s="17" t="str">
        <x:v>Catatan</x:v>
      </x:c>
    </x:row>
    <x:row r="4">
      <x:c r="A4" s="24" t="str">
        <x:v>Total user story</x:v>
      </x:c>
      <x:c r="B4" s="24" t="n">
        <x:f>COUNTA('Acceptance Criteria'!A5:A41)</x:f>
        <x:v>37</x:v>
      </x:c>
      <x:c r="D4" s="24" t="str">
        <x:v>Must: minimal 3 AC per story</x:v>
      </x:c>
    </x:row>
    <x:row r="5">
      <x:c r="A5" s="24" t="str">
        <x:v>Story Must</x:v>
      </x:c>
      <x:c r="B5" s="24" t="n">
        <x:f>COUNTIF('Acceptance Criteria'!C5:C41,"Must")</x:f>
        <x:v>31</x:v>
      </x:c>
      <x:c r="D5" s="24" t="str">
        <x:v>Format: Given - When - Then</x:v>
      </x:c>
    </x:row>
    <x:row r="6">
      <x:c r="A6" s="24" t="str">
        <x:v>Story Should</x:v>
      </x:c>
      <x:c r="B6" s="24" t="n">
        <x:f>COUNTIF('Acceptance Criteria'!C5:C41,"Should")</x:f>
        <x:v>6</x:v>
      </x:c>
    </x:row>
    <x:row r="7">
      <x:c r="A7" s="24" t="str">
        <x:v>Total acceptance criteria</x:v>
      </x:c>
      <x:c r="B7" s="24" t="n">
        <x:f>COUNTA('Acceptance Criteria'!B5:B41)</x:f>
        <x:v>37</x:v>
      </x:c>
    </x:row>
  </x:sheetData>
  <x:mergeCells>
    <x:mergeCell ref="A1:D1"/>
  </x:mergeCells>
  <x:pageMargins left="0.7" right="0.7" top="0.75" bottom="0.75" header="0.3" footer="0.3"/>
</x:worksheet>
</file>